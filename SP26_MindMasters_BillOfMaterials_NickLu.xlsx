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kc\Downloads\"/>
    </mc:Choice>
  </mc:AlternateContent>
  <xr:revisionPtr revIDLastSave="0" documentId="8_{39B80E73-DB2F-46C7-A130-445B9F46046C}" xr6:coauthVersionLast="47" xr6:coauthVersionMax="47" xr10:uidLastSave="{00000000-0000-0000-0000-000000000000}"/>
  <bookViews>
    <workbookView xWindow="-120" yWindow="-120" windowWidth="38640" windowHeight="21120" xr2:uid="{35706283-CC09-47FE-BB11-802BE3730E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8" i="1" l="1"/>
  <c r="F57" i="1"/>
  <c r="F56" i="1"/>
  <c r="F55" i="1"/>
  <c r="F54" i="1"/>
  <c r="F53" i="1"/>
  <c r="F24" i="1"/>
  <c r="F23" i="1"/>
  <c r="F21" i="1"/>
  <c r="F15" i="1"/>
</calcChain>
</file>

<file path=xl/sharedStrings.xml><?xml version="1.0" encoding="utf-8"?>
<sst xmlns="http://schemas.openxmlformats.org/spreadsheetml/2006/main" count="227" uniqueCount="138">
  <si>
    <t>Bill of Materials</t>
  </si>
  <si>
    <t>Quantity</t>
  </si>
  <si>
    <t>Description</t>
  </si>
  <si>
    <t>Part</t>
  </si>
  <si>
    <t>Category</t>
  </si>
  <si>
    <t>Price</t>
  </si>
  <si>
    <t>Total Spent</t>
  </si>
  <si>
    <t>Link</t>
  </si>
  <si>
    <t>Screw In Terminal</t>
  </si>
  <si>
    <t>Current Amplifer</t>
  </si>
  <si>
    <t>https://www.digikey.com/short/h4bqh1vj</t>
  </si>
  <si>
    <t>Resistor</t>
  </si>
  <si>
    <t>RC1206DR-0710KL</t>
  </si>
  <si>
    <t>https://www.digikey.com/short/cj3h99h8</t>
  </si>
  <si>
    <t>RC1206FR-07634RL</t>
  </si>
  <si>
    <t>https://www.digikey.com/short/8z23nzfm</t>
  </si>
  <si>
    <t>RC1206FR-07100RL</t>
  </si>
  <si>
    <t>https://www.digikey.com/short/29ft3q24</t>
  </si>
  <si>
    <t>Op Amp</t>
  </si>
  <si>
    <t>OPA455IDDAR</t>
  </si>
  <si>
    <t>https://www.digikey.com/short/r2zpp299</t>
  </si>
  <si>
    <t>Capacitor</t>
  </si>
  <si>
    <t>CL05B104KB54PNC</t>
  </si>
  <si>
    <t>Feedback</t>
  </si>
  <si>
    <t>https://www.digikey.com/short/rv8q03bw</t>
  </si>
  <si>
    <t>CL10B104KB8NNNC</t>
  </si>
  <si>
    <t>https://www.digikey.com/short/pr99n85f</t>
  </si>
  <si>
    <t>CC0603KRX7R9BB103</t>
  </si>
  <si>
    <t>https://www.digikey.com/short/327jvn84</t>
  </si>
  <si>
    <t>RC0603FR-07750RL</t>
  </si>
  <si>
    <t>https://www.digikey.com/short/bptq3j8d</t>
  </si>
  <si>
    <t>RC0603FR-0733RL</t>
  </si>
  <si>
    <t>https://www.digikey.com/short/p08cz4nz</t>
  </si>
  <si>
    <t>10ZLH1000MEFC10X12.5</t>
  </si>
  <si>
    <t>https://www.digikey.com/short/h4jvq459</t>
  </si>
  <si>
    <t>RC0603FR-071KL</t>
  </si>
  <si>
    <t>https://www.digikey.com/short/2t2rhvq0</t>
  </si>
  <si>
    <t>RC0603FR-0749K9L</t>
  </si>
  <si>
    <t>https://www.digikey.com/short/zh0wmth2</t>
  </si>
  <si>
    <t>RC0603FR-072KL</t>
  </si>
  <si>
    <t>https://www.digikey.com/short/0hfjwmf7</t>
  </si>
  <si>
    <t>RC0603FR-07100RL</t>
  </si>
  <si>
    <t>https://www.digikey.com/short/vdrw7z0f</t>
  </si>
  <si>
    <t>MCP</t>
  </si>
  <si>
    <t>MCP3008-I/P</t>
  </si>
  <si>
    <t>https://www.digikey.com/short/5fw15d1m</t>
  </si>
  <si>
    <t>https://www.digikey.com/short/pt8tj7qb</t>
  </si>
  <si>
    <t>Diode</t>
  </si>
  <si>
    <t>M7</t>
  </si>
  <si>
    <t>https://www.digikey.com/short/tjcvm2fp</t>
  </si>
  <si>
    <t>Transformer</t>
  </si>
  <si>
    <t>SP-48</t>
  </si>
  <si>
    <t>https://www.digikey.com/short/dvr8h1q8</t>
  </si>
  <si>
    <t>EEG Connector</t>
  </si>
  <si>
    <t>65.3300-21</t>
  </si>
  <si>
    <t>Output</t>
  </si>
  <si>
    <t>https://www.tme.com/us/en-us/details/mlb1.5-r-21/2mm-banana-sockets/staubli/65-3300-21/</t>
  </si>
  <si>
    <t>EEG Electrode</t>
  </si>
  <si>
    <t>MDYN-D48-10</t>
  </si>
  <si>
    <t>https://www.saveritemedical.com/products/med-dyne-eeg-disposable-cup-electrodes?variant=40245685452886</t>
  </si>
  <si>
    <t>Power Generation</t>
  </si>
  <si>
    <t>https://www.digikey.com/short/fdq5tqt4</t>
  </si>
  <si>
    <t>https://www.digikey.com/short/rp48hdb9</t>
  </si>
  <si>
    <t>CL21A106KAYNNNE</t>
  </si>
  <si>
    <t>https://www.digikey.com/short/251p0d54</t>
  </si>
  <si>
    <t>CC0603KRX7R9BB104</t>
  </si>
  <si>
    <t>https://www.digikey.com/short/34rbfjpc</t>
  </si>
  <si>
    <t>SS14-E3/5AT</t>
  </si>
  <si>
    <t>https://www.digikey.com/short/t3vn2f79</t>
  </si>
  <si>
    <t>Inductor</t>
  </si>
  <si>
    <t>BRL3225T1R0M</t>
  </si>
  <si>
    <t>https://www.digikey.com/short/2wmhvmqd</t>
  </si>
  <si>
    <t>NRS5030T100MMGJ</t>
  </si>
  <si>
    <t>https://www.digikey.com/short/0phn0vdz</t>
  </si>
  <si>
    <t>Switch</t>
  </si>
  <si>
    <t>CSS-1210TB</t>
  </si>
  <si>
    <t>https://www.digikey.com/short/jr14t4dr</t>
  </si>
  <si>
    <t>Charging IC</t>
  </si>
  <si>
    <t>TPS61023DRLR</t>
  </si>
  <si>
    <t>https://www.digikey.com/short/27f8v5zn</t>
  </si>
  <si>
    <t>USB-C Conn</t>
  </si>
  <si>
    <t>DX07S016JA1R1500</t>
  </si>
  <si>
    <t>https://www.digikey.com/short/fj1hj9jr</t>
  </si>
  <si>
    <t>Header</t>
  </si>
  <si>
    <t>B2B-PH-K-S</t>
  </si>
  <si>
    <t>https://www.digikey.com/short/7hq5d353</t>
  </si>
  <si>
    <t>Boost Converter</t>
  </si>
  <si>
    <t>LT3471EDD#TRPBF</t>
  </si>
  <si>
    <t>https://www.digikey.com/short/www0zcv7</t>
  </si>
  <si>
    <t>DC DC Converter</t>
  </si>
  <si>
    <t>RB-0505S</t>
  </si>
  <si>
    <t>https://www.digikey.com/short/h7d9pmt0</t>
  </si>
  <si>
    <t>TPB4056B2X-ES1R</t>
  </si>
  <si>
    <t>https://www.digikey.com/short/qqh5pww2</t>
  </si>
  <si>
    <t>CC0603MRX5R6BB106</t>
  </si>
  <si>
    <t>https://www.digikey.com/short/t2r2m115</t>
  </si>
  <si>
    <t>RC0603FR-071K2L</t>
  </si>
  <si>
    <t>https://www.digikey.com/short/8t29rbhq</t>
  </si>
  <si>
    <t>RC0603FR-074K7L</t>
  </si>
  <si>
    <t>https://www.digikey.com/short/h5t0njh5</t>
  </si>
  <si>
    <t>RC0603FR-075K1L</t>
  </si>
  <si>
    <t>https://www.digikey.com/short/c2mvb1rh</t>
  </si>
  <si>
    <t>RC0603FR-0715KL</t>
  </si>
  <si>
    <t>https://www.digikey.com/short/284tnr3t</t>
  </si>
  <si>
    <t>RC0603FR-07100KL</t>
  </si>
  <si>
    <t>https://www.digikey.com/short/qzfd5wp3</t>
  </si>
  <si>
    <t>RC0603FR-07196KL</t>
  </si>
  <si>
    <t>https://www.digikey.com/short/h9zn8245</t>
  </si>
  <si>
    <t>RC0603FR-07453KL</t>
  </si>
  <si>
    <t>https://www.digikey.com/short/5zpdhcjz</t>
  </si>
  <si>
    <t>RC0603FR-07432KL</t>
  </si>
  <si>
    <t>https://www.digikey.com/short/715fbr88</t>
  </si>
  <si>
    <t>RC0603FR-07750KL</t>
  </si>
  <si>
    <t>https://www.digikey.com/short/72mpm7fc</t>
  </si>
  <si>
    <t>Battery</t>
  </si>
  <si>
    <t>3.7V 2300mAh 104050 Lipo Battery</t>
  </si>
  <si>
    <t>https://www.amazon.com/dp/B0GDQG1PXW</t>
  </si>
  <si>
    <t>LEDs</t>
  </si>
  <si>
    <t>Panel Mount LED</t>
  </si>
  <si>
    <t>https://www.amazon.com/dp/B0B2L89W9C</t>
  </si>
  <si>
    <t>SS12F15 Slide Switch</t>
  </si>
  <si>
    <t>https://www.amazon.com/dp/B0FNRDWD4B</t>
  </si>
  <si>
    <t>DAC</t>
  </si>
  <si>
    <t>DAC8411IDCKT</t>
  </si>
  <si>
    <t>Signal Generation</t>
  </si>
  <si>
    <t>https://www.digikey.com/short/pbwnvqr3</t>
  </si>
  <si>
    <t>SPI Isolation</t>
  </si>
  <si>
    <t>ISO7761FDWR</t>
  </si>
  <si>
    <t>https://www.digikey.com/short/qnvhtwzt</t>
  </si>
  <si>
    <t>LDO Regulator</t>
  </si>
  <si>
    <t>MCP1700-3302E/TO</t>
  </si>
  <si>
    <t>https://www.digikey.com/short/jbv518jv</t>
  </si>
  <si>
    <t>MGS6053R3</t>
  </si>
  <si>
    <t>https://www.digikey.com/short/tj5ddddw</t>
  </si>
  <si>
    <t>PPPC201LFBN-RC</t>
  </si>
  <si>
    <t>https://www.digikey.com/short/hfb5n4v4</t>
  </si>
  <si>
    <t>https://www.digikey.com/short/wrd3p9hp</t>
  </si>
  <si>
    <t>https://www.digikey.com/short/8d859f7f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</si>
</sst>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b/>
      <sz val="40"/>
      <color theme="1"/>
      <name val="Aptos Narrow"/>
      <family val="2"/>
      <scheme val="minor"/>
    </font>
    <font>
      <sz val="3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44" fontId="0" fillId="0" borderId="0" xfId="0" applyNumberFormat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3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F76734-C870-45B5-8AFA-B04842006FF8}" name="Table22" displayName="Table22" ref="A4:G60" totalsRowShown="0">
  <autoFilter ref="A4:G60" xr:uid="{34F76734-C870-45B5-8AFA-B04842006FF8}"/>
  <sortState xmlns:xlrd2="http://schemas.microsoft.com/office/spreadsheetml/2017/richdata2" ref="A5:G60">
    <sortCondition ref="D4:D60"/>
  </sortState>
  <tableColumns count="7">
    <tableColumn id="2" xr3:uid="{532F1091-A482-42E4-BBEE-B08AE0403BC2}" name="Quantity"/>
    <tableColumn id="3" xr3:uid="{5C605ACC-BAFE-48D5-A812-05D3ECF9DE69}" name="Description"/>
    <tableColumn id="4" xr3:uid="{523F763F-AB8E-401B-B30B-246B219F900D}" name="Part" dataDxfId="2"/>
    <tableColumn id="5" xr3:uid="{AABC6953-B474-40DE-93D6-7347654AC717}" name="Category"/>
    <tableColumn id="6" xr3:uid="{A2440841-35D2-447C-9D6D-BBFFB4D34C4D}" name="Price" dataDxfId="1"/>
    <tableColumn id="7" xr3:uid="{FA0E3B70-A48F-4480-8EA8-AA48459D0DF6}" name="Total Spent" dataDxfId="0"/>
    <tableColumn id="8" xr3:uid="{2E6B0C5F-C6D6-4FE3-AA45-DB7E15FA1475}" name="Link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short/5fw15d1m" TargetMode="External"/><Relationship Id="rId18" Type="http://schemas.openxmlformats.org/officeDocument/2006/relationships/hyperlink" Target="https://www.digikey.com/short/8d859f7f" TargetMode="External"/><Relationship Id="rId26" Type="http://schemas.openxmlformats.org/officeDocument/2006/relationships/hyperlink" Target="https://www.digikey.com/short/251p0d54" TargetMode="External"/><Relationship Id="rId39" Type="http://schemas.openxmlformats.org/officeDocument/2006/relationships/hyperlink" Target="https://www.digikey.com/short/8t29rbhq" TargetMode="External"/><Relationship Id="rId21" Type="http://schemas.openxmlformats.org/officeDocument/2006/relationships/hyperlink" Target="https://www.digikey.com/short/8z23nzfm" TargetMode="External"/><Relationship Id="rId34" Type="http://schemas.openxmlformats.org/officeDocument/2006/relationships/hyperlink" Target="https://www.digikey.com/short/7hq5d353" TargetMode="External"/><Relationship Id="rId42" Type="http://schemas.openxmlformats.org/officeDocument/2006/relationships/hyperlink" Target="https://www.digikey.com/short/c2mvb1rh" TargetMode="External"/><Relationship Id="rId47" Type="http://schemas.openxmlformats.org/officeDocument/2006/relationships/hyperlink" Target="https://www.digikey.com/short/72mpm7fc" TargetMode="External"/><Relationship Id="rId7" Type="http://schemas.openxmlformats.org/officeDocument/2006/relationships/hyperlink" Target="https://www.digikey.com/short/hfb5n4v4" TargetMode="External"/><Relationship Id="rId2" Type="http://schemas.openxmlformats.org/officeDocument/2006/relationships/hyperlink" Target="https://www.digikey.com/short/pr99n85f" TargetMode="External"/><Relationship Id="rId16" Type="http://schemas.openxmlformats.org/officeDocument/2006/relationships/hyperlink" Target="https://www.digikey.com/short/dvr8h1q8" TargetMode="External"/><Relationship Id="rId29" Type="http://schemas.openxmlformats.org/officeDocument/2006/relationships/hyperlink" Target="https://www.digikey.com/short/2wmhvmqd" TargetMode="External"/><Relationship Id="rId1" Type="http://schemas.openxmlformats.org/officeDocument/2006/relationships/hyperlink" Target="https://www.digikey.com/short/rv8q03bw" TargetMode="External"/><Relationship Id="rId6" Type="http://schemas.openxmlformats.org/officeDocument/2006/relationships/hyperlink" Target="https://www.digikey.com/short/tj5ddddw" TargetMode="External"/><Relationship Id="rId11" Type="http://schemas.openxmlformats.org/officeDocument/2006/relationships/hyperlink" Target="https://www.digikey.com/short/0hfjwmf7" TargetMode="External"/><Relationship Id="rId24" Type="http://schemas.openxmlformats.org/officeDocument/2006/relationships/hyperlink" Target="https://www.digikey.com/short/fdq5tqt4" TargetMode="External"/><Relationship Id="rId32" Type="http://schemas.openxmlformats.org/officeDocument/2006/relationships/hyperlink" Target="https://www.digikey.com/short/27f8v5zn" TargetMode="External"/><Relationship Id="rId37" Type="http://schemas.openxmlformats.org/officeDocument/2006/relationships/hyperlink" Target="https://www.digikey.com/short/qqh5pww2" TargetMode="External"/><Relationship Id="rId40" Type="http://schemas.openxmlformats.org/officeDocument/2006/relationships/hyperlink" Target="https://www.digikey.com/short/h5t0njh5" TargetMode="External"/><Relationship Id="rId45" Type="http://schemas.openxmlformats.org/officeDocument/2006/relationships/hyperlink" Target="https://www.digikey.com/short/5zpdhcjz" TargetMode="External"/><Relationship Id="rId5" Type="http://schemas.openxmlformats.org/officeDocument/2006/relationships/hyperlink" Target="https://www.digikey.com/short/p08cz4nz" TargetMode="External"/><Relationship Id="rId15" Type="http://schemas.openxmlformats.org/officeDocument/2006/relationships/hyperlink" Target="https://www.digikey.com/short/tjcvm2fp" TargetMode="External"/><Relationship Id="rId23" Type="http://schemas.openxmlformats.org/officeDocument/2006/relationships/hyperlink" Target="https://www.digikey.com/short/r2zpp299" TargetMode="External"/><Relationship Id="rId28" Type="http://schemas.openxmlformats.org/officeDocument/2006/relationships/hyperlink" Target="https://www.digikey.com/short/t3vn2f79" TargetMode="External"/><Relationship Id="rId36" Type="http://schemas.openxmlformats.org/officeDocument/2006/relationships/hyperlink" Target="https://www.digikey.com/short/h7d9pmt0" TargetMode="External"/><Relationship Id="rId10" Type="http://schemas.openxmlformats.org/officeDocument/2006/relationships/hyperlink" Target="https://www.digikey.com/short/zh0wmth2" TargetMode="External"/><Relationship Id="rId19" Type="http://schemas.openxmlformats.org/officeDocument/2006/relationships/hyperlink" Target="https://www.digikey.com/short/h4bqh1vj" TargetMode="External"/><Relationship Id="rId31" Type="http://schemas.openxmlformats.org/officeDocument/2006/relationships/hyperlink" Target="https://www.digikey.com/short/jr14t4dr" TargetMode="External"/><Relationship Id="rId44" Type="http://schemas.openxmlformats.org/officeDocument/2006/relationships/hyperlink" Target="https://www.digikey.com/short/h9zn8245" TargetMode="External"/><Relationship Id="rId4" Type="http://schemas.openxmlformats.org/officeDocument/2006/relationships/hyperlink" Target="https://www.digikey.com/short/bptq3j8d" TargetMode="External"/><Relationship Id="rId9" Type="http://schemas.openxmlformats.org/officeDocument/2006/relationships/hyperlink" Target="https://www.digikey.com/short/2t2rhvq0" TargetMode="External"/><Relationship Id="rId14" Type="http://schemas.openxmlformats.org/officeDocument/2006/relationships/hyperlink" Target="https://www.digikey.com/short/pt8tj7qb" TargetMode="External"/><Relationship Id="rId22" Type="http://schemas.openxmlformats.org/officeDocument/2006/relationships/hyperlink" Target="https://www.digikey.com/short/29ft3q24" TargetMode="External"/><Relationship Id="rId27" Type="http://schemas.openxmlformats.org/officeDocument/2006/relationships/hyperlink" Target="https://www.digikey.com/short/34rbfjpc" TargetMode="External"/><Relationship Id="rId30" Type="http://schemas.openxmlformats.org/officeDocument/2006/relationships/hyperlink" Target="https://www.digikey.com/short/0phn0vdz" TargetMode="External"/><Relationship Id="rId35" Type="http://schemas.openxmlformats.org/officeDocument/2006/relationships/hyperlink" Target="https://www.digikey.com/short/www0zcv7" TargetMode="External"/><Relationship Id="rId43" Type="http://schemas.openxmlformats.org/officeDocument/2006/relationships/hyperlink" Target="https://www.digikey.com/short/qzfd5wp3" TargetMode="External"/><Relationship Id="rId48" Type="http://schemas.openxmlformats.org/officeDocument/2006/relationships/table" Target="../tables/table1.xml"/><Relationship Id="rId8" Type="http://schemas.openxmlformats.org/officeDocument/2006/relationships/hyperlink" Target="https://www.digikey.com/short/h4jvq459" TargetMode="External"/><Relationship Id="rId3" Type="http://schemas.openxmlformats.org/officeDocument/2006/relationships/hyperlink" Target="https://www.digikey.com/short/327jvn84" TargetMode="External"/><Relationship Id="rId12" Type="http://schemas.openxmlformats.org/officeDocument/2006/relationships/hyperlink" Target="https://www.digikey.com/short/vdrw7z0f" TargetMode="External"/><Relationship Id="rId17" Type="http://schemas.openxmlformats.org/officeDocument/2006/relationships/hyperlink" Target="https://www.digikey.com/short/wrd3p9hp" TargetMode="External"/><Relationship Id="rId25" Type="http://schemas.openxmlformats.org/officeDocument/2006/relationships/hyperlink" Target="https://www.digikey.com/short/rp48hdb9" TargetMode="External"/><Relationship Id="rId33" Type="http://schemas.openxmlformats.org/officeDocument/2006/relationships/hyperlink" Target="https://www.digikey.com/short/fj1hj9jr" TargetMode="External"/><Relationship Id="rId38" Type="http://schemas.openxmlformats.org/officeDocument/2006/relationships/hyperlink" Target="https://www.digikey.com/short/t2r2m115" TargetMode="External"/><Relationship Id="rId46" Type="http://schemas.openxmlformats.org/officeDocument/2006/relationships/hyperlink" Target="https://www.digikey.com/short/715fbr88" TargetMode="External"/><Relationship Id="rId20" Type="http://schemas.openxmlformats.org/officeDocument/2006/relationships/hyperlink" Target="https://www.digikey.com/short/cj3h99h8" TargetMode="External"/><Relationship Id="rId41" Type="http://schemas.openxmlformats.org/officeDocument/2006/relationships/hyperlink" Target="https://www.digikey.com/short/284tnr3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D93F2-BCAB-4312-B38E-6EB701B1A290}">
  <dimension ref="A1:G60"/>
  <sheetViews>
    <sheetView tabSelected="1" workbookViewId="0">
      <selection activeCell="P18" sqref="P18"/>
    </sheetView>
  </sheetViews>
  <sheetFormatPr defaultRowHeight="15" x14ac:dyDescent="0.25"/>
  <cols>
    <col min="1" max="1" width="11" bestFit="1" customWidth="1"/>
    <col min="2" max="2" width="16.7109375" bestFit="1" customWidth="1"/>
    <col min="3" max="3" width="30.85546875" bestFit="1" customWidth="1"/>
    <col min="4" max="4" width="16.7109375" bestFit="1" customWidth="1"/>
    <col min="5" max="5" width="9.28515625" bestFit="1" customWidth="1"/>
    <col min="6" max="6" width="14.85546875" bestFit="1" customWidth="1"/>
    <col min="7" max="7" width="102.140625" bestFit="1" customWidth="1"/>
  </cols>
  <sheetData>
    <row r="1" spans="1:7" x14ac:dyDescent="0.25">
      <c r="A1" s="1" t="s">
        <v>0</v>
      </c>
      <c r="B1" s="2"/>
      <c r="C1" s="2"/>
      <c r="D1" s="2"/>
      <c r="E1" s="2"/>
      <c r="F1" s="2"/>
      <c r="G1" s="2"/>
    </row>
    <row r="2" spans="1:7" x14ac:dyDescent="0.25">
      <c r="A2" s="3"/>
      <c r="B2" s="2"/>
      <c r="C2" s="2"/>
      <c r="D2" s="2"/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t="s">
        <v>1</v>
      </c>
      <c r="B4" t="s">
        <v>2</v>
      </c>
      <c r="C4" s="4" t="s">
        <v>3</v>
      </c>
      <c r="D4" t="s">
        <v>4</v>
      </c>
      <c r="E4" s="5" t="s">
        <v>5</v>
      </c>
      <c r="F4" s="5" t="s">
        <v>6</v>
      </c>
      <c r="G4" t="s">
        <v>7</v>
      </c>
    </row>
    <row r="5" spans="1:7" x14ac:dyDescent="0.25">
      <c r="A5">
        <v>20</v>
      </c>
      <c r="B5" t="s">
        <v>8</v>
      </c>
      <c r="C5" s="6">
        <v>691137710002</v>
      </c>
      <c r="D5" t="s">
        <v>9</v>
      </c>
      <c r="E5" s="5">
        <v>0.38400000000000001</v>
      </c>
      <c r="F5" s="5">
        <v>6.96</v>
      </c>
      <c r="G5" t="s">
        <v>10</v>
      </c>
    </row>
    <row r="6" spans="1:7" x14ac:dyDescent="0.25">
      <c r="A6">
        <v>10</v>
      </c>
      <c r="B6" t="s">
        <v>11</v>
      </c>
      <c r="C6" s="6" t="s">
        <v>12</v>
      </c>
      <c r="D6" t="s">
        <v>9</v>
      </c>
      <c r="E6" s="5">
        <v>0.09</v>
      </c>
      <c r="F6" s="5">
        <v>0.9</v>
      </c>
      <c r="G6" t="s">
        <v>13</v>
      </c>
    </row>
    <row r="7" spans="1:7" x14ac:dyDescent="0.25">
      <c r="A7">
        <v>10</v>
      </c>
      <c r="B7" t="s">
        <v>11</v>
      </c>
      <c r="C7" s="6" t="s">
        <v>14</v>
      </c>
      <c r="D7" t="s">
        <v>9</v>
      </c>
      <c r="E7" s="5">
        <v>4.3999999999999997E-2</v>
      </c>
      <c r="F7" s="5">
        <v>0.44</v>
      </c>
      <c r="G7" t="s">
        <v>15</v>
      </c>
    </row>
    <row r="8" spans="1:7" x14ac:dyDescent="0.25">
      <c r="A8">
        <v>10</v>
      </c>
      <c r="B8" t="s">
        <v>11</v>
      </c>
      <c r="C8" s="6" t="s">
        <v>16</v>
      </c>
      <c r="D8" t="s">
        <v>9</v>
      </c>
      <c r="E8" s="5">
        <v>4.3999999999999997E-2</v>
      </c>
      <c r="F8" s="5">
        <v>0.44</v>
      </c>
      <c r="G8" t="s">
        <v>17</v>
      </c>
    </row>
    <row r="9" spans="1:7" x14ac:dyDescent="0.25">
      <c r="A9">
        <v>10</v>
      </c>
      <c r="B9" t="s">
        <v>18</v>
      </c>
      <c r="C9" s="6" t="s">
        <v>19</v>
      </c>
      <c r="D9" t="s">
        <v>9</v>
      </c>
      <c r="E9" s="5">
        <v>6.69</v>
      </c>
      <c r="F9" s="5">
        <v>66.900000000000006</v>
      </c>
      <c r="G9" t="s">
        <v>20</v>
      </c>
    </row>
    <row r="10" spans="1:7" x14ac:dyDescent="0.25">
      <c r="A10">
        <v>10</v>
      </c>
      <c r="B10" t="s">
        <v>21</v>
      </c>
      <c r="C10" s="6" t="s">
        <v>22</v>
      </c>
      <c r="D10" t="s">
        <v>23</v>
      </c>
      <c r="E10" s="5">
        <v>0.39</v>
      </c>
      <c r="F10" s="5">
        <v>0.39</v>
      </c>
      <c r="G10" t="s">
        <v>24</v>
      </c>
    </row>
    <row r="11" spans="1:7" x14ac:dyDescent="0.25">
      <c r="A11">
        <v>12</v>
      </c>
      <c r="B11" t="s">
        <v>21</v>
      </c>
      <c r="C11" s="6" t="s">
        <v>25</v>
      </c>
      <c r="D11" t="s">
        <v>23</v>
      </c>
      <c r="E11" s="5">
        <v>0.32</v>
      </c>
      <c r="F11" s="5">
        <v>0.32</v>
      </c>
      <c r="G11" t="s">
        <v>26</v>
      </c>
    </row>
    <row r="12" spans="1:7" x14ac:dyDescent="0.25">
      <c r="A12">
        <v>10</v>
      </c>
      <c r="B12" t="s">
        <v>21</v>
      </c>
      <c r="C12" s="6" t="s">
        <v>27</v>
      </c>
      <c r="D12" t="s">
        <v>23</v>
      </c>
      <c r="E12" s="5">
        <v>0.3</v>
      </c>
      <c r="F12" s="5">
        <v>0.3</v>
      </c>
      <c r="G12" t="s">
        <v>28</v>
      </c>
    </row>
    <row r="13" spans="1:7" x14ac:dyDescent="0.25">
      <c r="A13">
        <v>10</v>
      </c>
      <c r="B13" t="s">
        <v>11</v>
      </c>
      <c r="C13" s="6" t="s">
        <v>29</v>
      </c>
      <c r="D13" t="s">
        <v>23</v>
      </c>
      <c r="E13" s="5">
        <v>0.24</v>
      </c>
      <c r="F13" s="5">
        <v>0.24</v>
      </c>
      <c r="G13" t="s">
        <v>30</v>
      </c>
    </row>
    <row r="14" spans="1:7" x14ac:dyDescent="0.25">
      <c r="A14">
        <v>12</v>
      </c>
      <c r="B14" t="s">
        <v>11</v>
      </c>
      <c r="C14" s="6" t="s">
        <v>31</v>
      </c>
      <c r="D14" t="s">
        <v>23</v>
      </c>
      <c r="E14" s="5">
        <v>0.28999999999999998</v>
      </c>
      <c r="F14" s="5">
        <v>0.28999999999999998</v>
      </c>
      <c r="G14" t="s">
        <v>32</v>
      </c>
    </row>
    <row r="15" spans="1:7" x14ac:dyDescent="0.25">
      <c r="A15">
        <v>4</v>
      </c>
      <c r="B15" t="s">
        <v>21</v>
      </c>
      <c r="C15" s="6" t="s">
        <v>33</v>
      </c>
      <c r="D15" t="s">
        <v>23</v>
      </c>
      <c r="E15" s="5">
        <v>0.51</v>
      </c>
      <c r="F15" s="5">
        <f>Table22[[#This Row],[Price]]*Table22[[#This Row],[Quantity]]</f>
        <v>2.04</v>
      </c>
      <c r="G15" t="s">
        <v>34</v>
      </c>
    </row>
    <row r="16" spans="1:7" x14ac:dyDescent="0.25">
      <c r="A16">
        <v>16</v>
      </c>
      <c r="B16" t="s">
        <v>11</v>
      </c>
      <c r="C16" s="6" t="s">
        <v>35</v>
      </c>
      <c r="D16" t="s">
        <v>23</v>
      </c>
      <c r="E16" s="5">
        <v>2.4E-2</v>
      </c>
      <c r="F16" s="5">
        <v>0.38</v>
      </c>
      <c r="G16" t="s">
        <v>36</v>
      </c>
    </row>
    <row r="17" spans="1:7" x14ac:dyDescent="0.25">
      <c r="A17">
        <v>10</v>
      </c>
      <c r="B17" t="s">
        <v>11</v>
      </c>
      <c r="C17" s="6" t="s">
        <v>37</v>
      </c>
      <c r="D17" t="s">
        <v>23</v>
      </c>
      <c r="E17" s="5">
        <v>2.4E-2</v>
      </c>
      <c r="F17" s="5">
        <v>0.24</v>
      </c>
      <c r="G17" t="s">
        <v>38</v>
      </c>
    </row>
    <row r="18" spans="1:7" x14ac:dyDescent="0.25">
      <c r="A18">
        <v>10</v>
      </c>
      <c r="B18" t="s">
        <v>11</v>
      </c>
      <c r="C18" s="6" t="s">
        <v>39</v>
      </c>
      <c r="D18" t="s">
        <v>23</v>
      </c>
      <c r="E18" s="5">
        <v>2.4E-2</v>
      </c>
      <c r="F18" s="5">
        <v>0.24</v>
      </c>
      <c r="G18" t="s">
        <v>40</v>
      </c>
    </row>
    <row r="19" spans="1:7" x14ac:dyDescent="0.25">
      <c r="A19">
        <v>10</v>
      </c>
      <c r="B19" t="s">
        <v>11</v>
      </c>
      <c r="C19" s="6" t="s">
        <v>41</v>
      </c>
      <c r="D19" t="s">
        <v>23</v>
      </c>
      <c r="E19" s="5">
        <v>2.4E-2</v>
      </c>
      <c r="F19" s="5">
        <v>0.24</v>
      </c>
      <c r="G19" t="s">
        <v>42</v>
      </c>
    </row>
    <row r="20" spans="1:7" x14ac:dyDescent="0.25">
      <c r="A20">
        <v>1</v>
      </c>
      <c r="B20" t="s">
        <v>43</v>
      </c>
      <c r="C20" s="6" t="s">
        <v>44</v>
      </c>
      <c r="D20" t="s">
        <v>23</v>
      </c>
      <c r="E20" s="5">
        <v>3.12</v>
      </c>
      <c r="F20" s="5">
        <v>3.12</v>
      </c>
      <c r="G20" t="s">
        <v>45</v>
      </c>
    </row>
    <row r="21" spans="1:7" x14ac:dyDescent="0.25">
      <c r="A21">
        <v>16</v>
      </c>
      <c r="B21" t="s">
        <v>18</v>
      </c>
      <c r="C21" s="6" t="s">
        <v>19</v>
      </c>
      <c r="D21" t="s">
        <v>23</v>
      </c>
      <c r="E21" s="5">
        <v>6.69</v>
      </c>
      <c r="F21" s="5">
        <f>Table22[[#This Row],[Price]]*Table22[[#This Row],[Quantity]]</f>
        <v>107.04</v>
      </c>
      <c r="G21" t="s">
        <v>46</v>
      </c>
    </row>
    <row r="22" spans="1:7" x14ac:dyDescent="0.25">
      <c r="A22">
        <v>10</v>
      </c>
      <c r="B22" t="s">
        <v>47</v>
      </c>
      <c r="C22" s="6" t="s">
        <v>48</v>
      </c>
      <c r="D22" t="s">
        <v>23</v>
      </c>
      <c r="E22" s="5">
        <v>7.1999999999999995E-2</v>
      </c>
      <c r="F22" s="5">
        <v>0.72</v>
      </c>
      <c r="G22" t="s">
        <v>49</v>
      </c>
    </row>
    <row r="23" spans="1:7" x14ac:dyDescent="0.25">
      <c r="A23">
        <v>4</v>
      </c>
      <c r="B23" t="s">
        <v>50</v>
      </c>
      <c r="C23" s="6" t="s">
        <v>51</v>
      </c>
      <c r="D23" t="s">
        <v>23</v>
      </c>
      <c r="E23" s="5">
        <v>17.75</v>
      </c>
      <c r="F23" s="5">
        <f>Table22[[#This Row],[Price]]*Table22[[#This Row],[Quantity]]</f>
        <v>71</v>
      </c>
      <c r="G23" t="s">
        <v>52</v>
      </c>
    </row>
    <row r="24" spans="1:7" x14ac:dyDescent="0.25">
      <c r="A24">
        <v>8</v>
      </c>
      <c r="B24" t="s">
        <v>53</v>
      </c>
      <c r="C24" s="4" t="s">
        <v>54</v>
      </c>
      <c r="D24" t="s">
        <v>55</v>
      </c>
      <c r="E24" s="5">
        <v>2.83</v>
      </c>
      <c r="F24" s="5">
        <f>Table22[[#This Row],[Price]]*Table22[[#This Row],[Quantity]]</f>
        <v>22.64</v>
      </c>
      <c r="G24" t="s">
        <v>56</v>
      </c>
    </row>
    <row r="25" spans="1:7" x14ac:dyDescent="0.25">
      <c r="A25">
        <v>10</v>
      </c>
      <c r="B25" t="s">
        <v>57</v>
      </c>
      <c r="C25" s="4" t="s">
        <v>58</v>
      </c>
      <c r="D25" t="s">
        <v>55</v>
      </c>
      <c r="E25" s="5">
        <v>9.2799999999999994</v>
      </c>
      <c r="F25" s="5">
        <v>9.2799999999999994</v>
      </c>
      <c r="G25" t="s">
        <v>59</v>
      </c>
    </row>
    <row r="26" spans="1:7" x14ac:dyDescent="0.25">
      <c r="A26">
        <v>10</v>
      </c>
      <c r="B26" t="s">
        <v>8</v>
      </c>
      <c r="C26" s="6">
        <v>691214110002</v>
      </c>
      <c r="D26" t="s">
        <v>60</v>
      </c>
      <c r="E26" s="5">
        <v>1.036</v>
      </c>
      <c r="F26" s="5">
        <v>10.36</v>
      </c>
      <c r="G26" t="s">
        <v>61</v>
      </c>
    </row>
    <row r="27" spans="1:7" x14ac:dyDescent="0.25">
      <c r="A27">
        <v>4</v>
      </c>
      <c r="B27" t="s">
        <v>8</v>
      </c>
      <c r="C27" s="6">
        <v>691214110003</v>
      </c>
      <c r="D27" t="s">
        <v>60</v>
      </c>
      <c r="E27" s="5">
        <v>0.61899999999999999</v>
      </c>
      <c r="F27" s="5">
        <v>6.19</v>
      </c>
      <c r="G27" t="s">
        <v>62</v>
      </c>
    </row>
    <row r="28" spans="1:7" x14ac:dyDescent="0.25">
      <c r="A28">
        <v>25</v>
      </c>
      <c r="B28" t="s">
        <v>21</v>
      </c>
      <c r="C28" s="6" t="s">
        <v>63</v>
      </c>
      <c r="D28" t="s">
        <v>60</v>
      </c>
      <c r="E28" s="5">
        <v>9.8000000000000004E-2</v>
      </c>
      <c r="F28" s="5">
        <v>2.4500000000000002</v>
      </c>
      <c r="G28" t="s">
        <v>64</v>
      </c>
    </row>
    <row r="29" spans="1:7" x14ac:dyDescent="0.25">
      <c r="A29">
        <v>10</v>
      </c>
      <c r="B29" t="s">
        <v>21</v>
      </c>
      <c r="C29" s="6" t="s">
        <v>65</v>
      </c>
      <c r="D29" t="s">
        <v>60</v>
      </c>
      <c r="E29" s="5">
        <v>4.2999999999999997E-2</v>
      </c>
      <c r="F29" s="5">
        <v>0.43</v>
      </c>
      <c r="G29" t="s">
        <v>66</v>
      </c>
    </row>
    <row r="30" spans="1:7" x14ac:dyDescent="0.25">
      <c r="A30">
        <v>10</v>
      </c>
      <c r="B30" t="s">
        <v>47</v>
      </c>
      <c r="C30" s="6" t="s">
        <v>67</v>
      </c>
      <c r="D30" t="s">
        <v>60</v>
      </c>
      <c r="E30" s="5">
        <v>0.184</v>
      </c>
      <c r="F30" s="5">
        <v>1.84</v>
      </c>
      <c r="G30" t="s">
        <v>68</v>
      </c>
    </row>
    <row r="31" spans="1:7" x14ac:dyDescent="0.25">
      <c r="A31">
        <v>1</v>
      </c>
      <c r="B31" t="s">
        <v>69</v>
      </c>
      <c r="C31" s="6" t="s">
        <v>70</v>
      </c>
      <c r="D31" t="s">
        <v>60</v>
      </c>
      <c r="E31" s="5">
        <v>0.18</v>
      </c>
      <c r="F31" s="5">
        <v>0.18</v>
      </c>
      <c r="G31" t="s">
        <v>71</v>
      </c>
    </row>
    <row r="32" spans="1:7" x14ac:dyDescent="0.25">
      <c r="A32">
        <v>10</v>
      </c>
      <c r="B32" t="s">
        <v>69</v>
      </c>
      <c r="C32" s="6" t="s">
        <v>72</v>
      </c>
      <c r="D32" t="s">
        <v>60</v>
      </c>
      <c r="E32" s="5">
        <v>0.19800000000000001</v>
      </c>
      <c r="F32" s="5">
        <v>1.98</v>
      </c>
      <c r="G32" t="s">
        <v>73</v>
      </c>
    </row>
    <row r="33" spans="1:7" x14ac:dyDescent="0.25">
      <c r="A33">
        <v>1</v>
      </c>
      <c r="B33" t="s">
        <v>74</v>
      </c>
      <c r="C33" s="6" t="s">
        <v>75</v>
      </c>
      <c r="D33" t="s">
        <v>60</v>
      </c>
      <c r="E33" s="5">
        <v>0.72</v>
      </c>
      <c r="F33" s="5">
        <v>0.72</v>
      </c>
      <c r="G33" t="s">
        <v>76</v>
      </c>
    </row>
    <row r="34" spans="1:7" x14ac:dyDescent="0.25">
      <c r="A34">
        <v>1</v>
      </c>
      <c r="B34" t="s">
        <v>77</v>
      </c>
      <c r="C34" s="6" t="s">
        <v>78</v>
      </c>
      <c r="D34" t="s">
        <v>60</v>
      </c>
      <c r="E34" s="5">
        <v>1.1200000000000001</v>
      </c>
      <c r="F34" s="5">
        <v>1.1200000000000001</v>
      </c>
      <c r="G34" t="s">
        <v>79</v>
      </c>
    </row>
    <row r="35" spans="1:7" x14ac:dyDescent="0.25">
      <c r="A35">
        <v>1</v>
      </c>
      <c r="B35" t="s">
        <v>80</v>
      </c>
      <c r="C35" s="6" t="s">
        <v>81</v>
      </c>
      <c r="D35" t="s">
        <v>60</v>
      </c>
      <c r="E35" s="5">
        <v>2.15</v>
      </c>
      <c r="F35" s="5">
        <v>2.15</v>
      </c>
      <c r="G35" t="s">
        <v>82</v>
      </c>
    </row>
    <row r="36" spans="1:7" x14ac:dyDescent="0.25">
      <c r="A36">
        <v>3</v>
      </c>
      <c r="B36" t="s">
        <v>83</v>
      </c>
      <c r="C36" s="6" t="s">
        <v>84</v>
      </c>
      <c r="D36" t="s">
        <v>60</v>
      </c>
      <c r="E36" s="5">
        <v>0.11</v>
      </c>
      <c r="F36" s="5">
        <v>0.33</v>
      </c>
      <c r="G36" t="s">
        <v>85</v>
      </c>
    </row>
    <row r="37" spans="1:7" x14ac:dyDescent="0.25">
      <c r="A37">
        <v>4</v>
      </c>
      <c r="B37" t="s">
        <v>86</v>
      </c>
      <c r="C37" s="6" t="s">
        <v>87</v>
      </c>
      <c r="D37" t="s">
        <v>60</v>
      </c>
      <c r="E37" s="5">
        <v>9.7899999999999991</v>
      </c>
      <c r="F37" s="5">
        <v>39.159999999999997</v>
      </c>
      <c r="G37" t="s">
        <v>88</v>
      </c>
    </row>
    <row r="38" spans="1:7" x14ac:dyDescent="0.25">
      <c r="A38">
        <v>4</v>
      </c>
      <c r="B38" t="s">
        <v>89</v>
      </c>
      <c r="C38" s="6" t="s">
        <v>90</v>
      </c>
      <c r="D38" t="s">
        <v>60</v>
      </c>
      <c r="E38" s="5">
        <v>6.51</v>
      </c>
      <c r="F38" s="5">
        <v>26.04</v>
      </c>
      <c r="G38" t="s">
        <v>91</v>
      </c>
    </row>
    <row r="39" spans="1:7" x14ac:dyDescent="0.25">
      <c r="A39">
        <v>1</v>
      </c>
      <c r="B39" t="s">
        <v>77</v>
      </c>
      <c r="C39" s="6" t="s">
        <v>92</v>
      </c>
      <c r="D39" t="s">
        <v>60</v>
      </c>
      <c r="E39" s="5">
        <v>0.5</v>
      </c>
      <c r="F39" s="5">
        <v>0.5</v>
      </c>
      <c r="G39" t="s">
        <v>93</v>
      </c>
    </row>
    <row r="40" spans="1:7" x14ac:dyDescent="0.25">
      <c r="A40">
        <v>2</v>
      </c>
      <c r="B40" t="s">
        <v>21</v>
      </c>
      <c r="C40" s="6" t="s">
        <v>94</v>
      </c>
      <c r="D40" t="s">
        <v>60</v>
      </c>
      <c r="E40" s="5">
        <v>0.18</v>
      </c>
      <c r="F40" s="5">
        <v>0.36</v>
      </c>
      <c r="G40" t="s">
        <v>95</v>
      </c>
    </row>
    <row r="41" spans="1:7" x14ac:dyDescent="0.25">
      <c r="A41">
        <v>10</v>
      </c>
      <c r="B41" t="s">
        <v>11</v>
      </c>
      <c r="C41" s="6" t="s">
        <v>96</v>
      </c>
      <c r="D41" t="s">
        <v>60</v>
      </c>
      <c r="E41" s="5">
        <v>2.4E-2</v>
      </c>
      <c r="F41" s="5">
        <v>0.24</v>
      </c>
      <c r="G41" t="s">
        <v>97</v>
      </c>
    </row>
    <row r="42" spans="1:7" x14ac:dyDescent="0.25">
      <c r="A42">
        <v>10</v>
      </c>
      <c r="B42" t="s">
        <v>11</v>
      </c>
      <c r="C42" s="6" t="s">
        <v>98</v>
      </c>
      <c r="D42" t="s">
        <v>60</v>
      </c>
      <c r="E42" s="5">
        <v>2.4E-2</v>
      </c>
      <c r="F42" s="5">
        <v>0.24</v>
      </c>
      <c r="G42" t="s">
        <v>99</v>
      </c>
    </row>
    <row r="43" spans="1:7" x14ac:dyDescent="0.25">
      <c r="A43">
        <v>10</v>
      </c>
      <c r="B43" t="s">
        <v>11</v>
      </c>
      <c r="C43" s="6" t="s">
        <v>100</v>
      </c>
      <c r="D43" t="s">
        <v>60</v>
      </c>
      <c r="E43" s="5">
        <v>2.4E-2</v>
      </c>
      <c r="F43" s="5">
        <v>0.24</v>
      </c>
      <c r="G43" t="s">
        <v>101</v>
      </c>
    </row>
    <row r="44" spans="1:7" x14ac:dyDescent="0.25">
      <c r="A44">
        <v>10</v>
      </c>
      <c r="B44" t="s">
        <v>11</v>
      </c>
      <c r="C44" s="6" t="s">
        <v>102</v>
      </c>
      <c r="D44" t="s">
        <v>60</v>
      </c>
      <c r="E44" s="5">
        <v>2.4E-2</v>
      </c>
      <c r="F44" s="5">
        <v>0.24</v>
      </c>
      <c r="G44" t="s">
        <v>103</v>
      </c>
    </row>
    <row r="45" spans="1:7" x14ac:dyDescent="0.25">
      <c r="A45">
        <v>10</v>
      </c>
      <c r="B45" t="s">
        <v>11</v>
      </c>
      <c r="C45" s="6" t="s">
        <v>104</v>
      </c>
      <c r="D45" t="s">
        <v>60</v>
      </c>
      <c r="E45" s="5">
        <v>2.4E-2</v>
      </c>
      <c r="F45" s="5">
        <v>0.24</v>
      </c>
      <c r="G45" t="s">
        <v>105</v>
      </c>
    </row>
    <row r="46" spans="1:7" x14ac:dyDescent="0.25">
      <c r="A46">
        <v>10</v>
      </c>
      <c r="B46" t="s">
        <v>11</v>
      </c>
      <c r="C46" s="6" t="s">
        <v>106</v>
      </c>
      <c r="D46" t="s">
        <v>60</v>
      </c>
      <c r="E46" s="5">
        <v>2.4E-2</v>
      </c>
      <c r="F46" s="5">
        <v>0.24</v>
      </c>
      <c r="G46" t="s">
        <v>107</v>
      </c>
    </row>
    <row r="47" spans="1:7" x14ac:dyDescent="0.25">
      <c r="A47">
        <v>10</v>
      </c>
      <c r="B47" t="s">
        <v>11</v>
      </c>
      <c r="C47" s="6" t="s">
        <v>108</v>
      </c>
      <c r="D47" t="s">
        <v>60</v>
      </c>
      <c r="E47" s="5">
        <v>2.4E-2</v>
      </c>
      <c r="F47" s="5">
        <v>0.24</v>
      </c>
      <c r="G47" t="s">
        <v>109</v>
      </c>
    </row>
    <row r="48" spans="1:7" x14ac:dyDescent="0.25">
      <c r="A48">
        <v>10</v>
      </c>
      <c r="B48" t="s">
        <v>11</v>
      </c>
      <c r="C48" s="6" t="s">
        <v>110</v>
      </c>
      <c r="D48" t="s">
        <v>60</v>
      </c>
      <c r="E48" s="5">
        <v>2.4E-2</v>
      </c>
      <c r="F48" s="5">
        <v>0.24</v>
      </c>
      <c r="G48" t="s">
        <v>111</v>
      </c>
    </row>
    <row r="49" spans="1:7" x14ac:dyDescent="0.25">
      <c r="A49">
        <v>10</v>
      </c>
      <c r="B49" t="s">
        <v>11</v>
      </c>
      <c r="C49" s="6" t="s">
        <v>112</v>
      </c>
      <c r="D49" t="s">
        <v>60</v>
      </c>
      <c r="E49" s="5">
        <v>2.4E-2</v>
      </c>
      <c r="F49" s="5">
        <v>0.24</v>
      </c>
      <c r="G49" t="s">
        <v>113</v>
      </c>
    </row>
    <row r="50" spans="1:7" x14ac:dyDescent="0.25">
      <c r="A50">
        <v>1</v>
      </c>
      <c r="B50" t="s">
        <v>114</v>
      </c>
      <c r="C50" s="6" t="s">
        <v>115</v>
      </c>
      <c r="D50" t="s">
        <v>60</v>
      </c>
      <c r="E50" s="5">
        <v>10.99</v>
      </c>
      <c r="F50" s="5">
        <v>10.99</v>
      </c>
      <c r="G50" t="s">
        <v>116</v>
      </c>
    </row>
    <row r="51" spans="1:7" x14ac:dyDescent="0.25">
      <c r="A51">
        <v>1</v>
      </c>
      <c r="B51" t="s">
        <v>117</v>
      </c>
      <c r="C51" s="4" t="s">
        <v>118</v>
      </c>
      <c r="D51" t="s">
        <v>60</v>
      </c>
      <c r="E51" s="5">
        <v>13.99</v>
      </c>
      <c r="F51" s="5">
        <v>13.99</v>
      </c>
      <c r="G51" t="s">
        <v>119</v>
      </c>
    </row>
    <row r="52" spans="1:7" x14ac:dyDescent="0.25">
      <c r="A52">
        <v>1</v>
      </c>
      <c r="B52" t="s">
        <v>74</v>
      </c>
      <c r="C52" s="4" t="s">
        <v>120</v>
      </c>
      <c r="D52" t="s">
        <v>60</v>
      </c>
      <c r="E52" s="5">
        <v>4.99</v>
      </c>
      <c r="F52" s="5">
        <v>4.99</v>
      </c>
      <c r="G52" t="s">
        <v>121</v>
      </c>
    </row>
    <row r="53" spans="1:7" x14ac:dyDescent="0.25">
      <c r="A53">
        <v>4</v>
      </c>
      <c r="B53" t="s">
        <v>122</v>
      </c>
      <c r="C53" s="6" t="s">
        <v>123</v>
      </c>
      <c r="D53" t="s">
        <v>124</v>
      </c>
      <c r="E53" s="5">
        <v>8.08</v>
      </c>
      <c r="F53" s="5">
        <f>A53*E53</f>
        <v>32.32</v>
      </c>
      <c r="G53" t="s">
        <v>125</v>
      </c>
    </row>
    <row r="54" spans="1:7" x14ac:dyDescent="0.25">
      <c r="A54">
        <v>4</v>
      </c>
      <c r="B54" t="s">
        <v>126</v>
      </c>
      <c r="C54" s="6" t="s">
        <v>127</v>
      </c>
      <c r="D54" t="s">
        <v>124</v>
      </c>
      <c r="E54" s="5">
        <v>3.67</v>
      </c>
      <c r="F54" s="5">
        <f>A54*E54</f>
        <v>14.68</v>
      </c>
      <c r="G54" t="s">
        <v>128</v>
      </c>
    </row>
    <row r="55" spans="1:7" x14ac:dyDescent="0.25">
      <c r="A55">
        <v>4</v>
      </c>
      <c r="B55" t="s">
        <v>129</v>
      </c>
      <c r="C55" s="6" t="s">
        <v>130</v>
      </c>
      <c r="D55" t="s">
        <v>124</v>
      </c>
      <c r="E55" s="5">
        <v>0.5</v>
      </c>
      <c r="F55" s="5">
        <f>A55*E55</f>
        <v>2</v>
      </c>
      <c r="G55" t="s">
        <v>131</v>
      </c>
    </row>
    <row r="56" spans="1:7" x14ac:dyDescent="0.25">
      <c r="A56">
        <v>1</v>
      </c>
      <c r="B56" t="s">
        <v>129</v>
      </c>
      <c r="C56" s="6" t="s">
        <v>130</v>
      </c>
      <c r="D56" t="s">
        <v>124</v>
      </c>
      <c r="E56" s="5">
        <v>0.5</v>
      </c>
      <c r="F56" s="5">
        <f>A56*E56</f>
        <v>0.5</v>
      </c>
      <c r="G56" t="s">
        <v>131</v>
      </c>
    </row>
    <row r="57" spans="1:7" x14ac:dyDescent="0.25">
      <c r="A57">
        <v>4</v>
      </c>
      <c r="B57" t="s">
        <v>89</v>
      </c>
      <c r="C57" s="6" t="s">
        <v>132</v>
      </c>
      <c r="D57" t="s">
        <v>124</v>
      </c>
      <c r="E57" s="5">
        <v>20.71</v>
      </c>
      <c r="F57" s="5">
        <f>Table22[[#This Row],[Price]]*Table22[[#This Row],[Quantity]]</f>
        <v>82.84</v>
      </c>
      <c r="G57" t="s">
        <v>133</v>
      </c>
    </row>
    <row r="58" spans="1:7" x14ac:dyDescent="0.25">
      <c r="A58">
        <v>2</v>
      </c>
      <c r="B58" t="s">
        <v>83</v>
      </c>
      <c r="C58" s="6" t="s">
        <v>134</v>
      </c>
      <c r="D58" t="s">
        <v>124</v>
      </c>
      <c r="E58" s="5">
        <v>1.1399999999999999</v>
      </c>
      <c r="F58" s="5">
        <f>Table22[[#This Row],[Price]]*Table22[[#This Row],[Quantity]]</f>
        <v>2.2799999999999998</v>
      </c>
      <c r="G58" t="s">
        <v>135</v>
      </c>
    </row>
    <row r="59" spans="1:7" x14ac:dyDescent="0.25">
      <c r="A59">
        <v>2</v>
      </c>
      <c r="B59" t="s">
        <v>8</v>
      </c>
      <c r="C59" s="6">
        <v>691214110003</v>
      </c>
      <c r="D59" t="s">
        <v>124</v>
      </c>
      <c r="E59" s="5">
        <v>1.55</v>
      </c>
      <c r="F59" s="5">
        <v>3.1</v>
      </c>
      <c r="G59" t="s">
        <v>136</v>
      </c>
    </row>
    <row r="60" spans="1:7" x14ac:dyDescent="0.25">
      <c r="A60">
        <v>10</v>
      </c>
      <c r="B60" t="s">
        <v>8</v>
      </c>
      <c r="C60" s="6">
        <v>691214110002</v>
      </c>
      <c r="D60" t="s">
        <v>124</v>
      </c>
      <c r="E60" s="5">
        <v>1.036</v>
      </c>
      <c r="F60" s="5">
        <v>10.36</v>
      </c>
      <c r="G60" t="s">
        <v>137</v>
      </c>
    </row>
  </sheetData>
  <mergeCells count="1">
    <mergeCell ref="A1:G3"/>
  </mergeCells>
  <hyperlinks>
    <hyperlink ref="G10" r:id="rId1" xr:uid="{0FC35FAC-D7D5-40E3-98DE-1C2ACBC413BF}"/>
    <hyperlink ref="G11" r:id="rId2" xr:uid="{E5F6DA58-F438-4E59-8180-1D190A4A6205}"/>
    <hyperlink ref="G12" r:id="rId3" xr:uid="{6B120B5C-8567-4FE8-84E7-16D8192F58CA}"/>
    <hyperlink ref="G13" r:id="rId4" xr:uid="{EC20A744-0A4A-4CB5-A660-984173F389F0}"/>
    <hyperlink ref="G14" r:id="rId5" xr:uid="{5132549F-2835-4C22-9091-962C8B15EDE5}"/>
    <hyperlink ref="G57" r:id="rId6" xr:uid="{BB6C3DA7-3F77-48F7-9BBA-A51B25B0298F}"/>
    <hyperlink ref="G58" r:id="rId7" xr:uid="{44BD012D-AA3C-4A4B-930D-1668E560A4B3}"/>
    <hyperlink ref="G15" r:id="rId8" xr:uid="{79795771-2BF3-446E-BDDC-8EFDF59BE21F}"/>
    <hyperlink ref="G16" r:id="rId9" xr:uid="{34F4867F-D806-4F47-974E-29499767EFCB}"/>
    <hyperlink ref="G17" r:id="rId10" xr:uid="{0B94231C-6E6A-4600-8854-AB66023A786A}"/>
    <hyperlink ref="G18" r:id="rId11" xr:uid="{BCA28008-E34B-47D5-A3A9-9042055071CD}"/>
    <hyperlink ref="G19" r:id="rId12" xr:uid="{00BC19AC-16D7-46C8-AE7C-BEA3FDE4C533}"/>
    <hyperlink ref="G20" r:id="rId13" xr:uid="{FDDD45D6-FA42-4DEF-9A4C-DBA6B5B71292}"/>
    <hyperlink ref="G21" r:id="rId14" xr:uid="{9CA1B24C-7114-4A91-AF05-76825D700EFC}"/>
    <hyperlink ref="G22" r:id="rId15" xr:uid="{E3F301FB-AED3-46F9-A4EA-664F63F8E2A5}"/>
    <hyperlink ref="G23" r:id="rId16" xr:uid="{C7FEABD0-FC24-4999-8491-683E57C9C35B}"/>
    <hyperlink ref="G59" r:id="rId17" xr:uid="{6E3BF6B6-5366-4831-95EA-534090E43E5A}"/>
    <hyperlink ref="G60" r:id="rId18" xr:uid="{76567E86-23CB-42ED-95B8-27D00D69EE8B}"/>
    <hyperlink ref="G5" r:id="rId19" xr:uid="{CF546E34-E242-419C-8869-1C9EB373169D}"/>
    <hyperlink ref="G6" r:id="rId20" xr:uid="{E781228F-473E-46E2-9CF7-4F7BE056303A}"/>
    <hyperlink ref="G7" r:id="rId21" xr:uid="{01D4A9C8-0AA2-42FC-B7E8-C31B8109328A}"/>
    <hyperlink ref="G8" r:id="rId22" xr:uid="{EB7A2F7D-2143-43DE-9C30-31CF76DC0477}"/>
    <hyperlink ref="G9" r:id="rId23" xr:uid="{3A623D5C-A6FA-4531-81C6-A601DD9271B9}"/>
    <hyperlink ref="G26" r:id="rId24" xr:uid="{D6C5E9CF-6972-49A8-B0C2-5C513436AEC7}"/>
    <hyperlink ref="G27" r:id="rId25" xr:uid="{0F166401-F28D-47BD-8917-9520CE82F8BE}"/>
    <hyperlink ref="G28" r:id="rId26" xr:uid="{9BB972C5-AE1B-458B-A3D2-5CB487BDD632}"/>
    <hyperlink ref="G29" r:id="rId27" xr:uid="{BE74EB0F-6F27-44AE-B676-B9B4FAA2784B}"/>
    <hyperlink ref="G30" r:id="rId28" xr:uid="{263DDF7C-A4CE-426B-AC13-A72BD2CB81C5}"/>
    <hyperlink ref="G31" r:id="rId29" xr:uid="{B96FA225-A9C0-4EB9-89B0-76B200939EA3}"/>
    <hyperlink ref="G32" r:id="rId30" xr:uid="{C515FD03-04AC-4C8F-9800-989A33225D76}"/>
    <hyperlink ref="G33" r:id="rId31" xr:uid="{2FEEE337-F83B-4141-A541-0D3FB2148C96}"/>
    <hyperlink ref="G34" r:id="rId32" xr:uid="{C63E4687-310B-47EF-B0FD-388CA3AB9CCF}"/>
    <hyperlink ref="G35" r:id="rId33" xr:uid="{53BA1ED2-FDA2-41B0-BB05-24D3C31D2588}"/>
    <hyperlink ref="G36" r:id="rId34" xr:uid="{5EB5F9CC-F94C-4AAF-B10F-0C224BFF95A5}"/>
    <hyperlink ref="G37" r:id="rId35" xr:uid="{F507F115-1406-4765-9414-1F6FA49EB649}"/>
    <hyperlink ref="G38" r:id="rId36" xr:uid="{573461E8-FA83-4EFE-A4D2-4C542DA69075}"/>
    <hyperlink ref="G39" r:id="rId37" xr:uid="{4AB921E1-B8F7-46A0-B472-EE549D187D07}"/>
    <hyperlink ref="G40" r:id="rId38" xr:uid="{463A245E-9066-4EA5-BC2B-98EF482A8661}"/>
    <hyperlink ref="G41" r:id="rId39" xr:uid="{F0C0E8DC-B9BF-4029-A2DC-64C98F536415}"/>
    <hyperlink ref="G42" r:id="rId40" xr:uid="{B15AD442-A486-453E-A49F-3614973A7020}"/>
    <hyperlink ref="G44" r:id="rId41" xr:uid="{CB4A7E50-194B-46DB-9D89-B409CB142569}"/>
    <hyperlink ref="G43" r:id="rId42" xr:uid="{3B8F95B2-B5A3-4FB3-A50F-9612CC183D28}"/>
    <hyperlink ref="G45" r:id="rId43" xr:uid="{CB7A2E25-E1DE-400A-A53B-F5ADFCC7612A}"/>
    <hyperlink ref="G46" r:id="rId44" xr:uid="{25A0883D-03EC-42FC-8348-05A32AA4DC69}"/>
    <hyperlink ref="G47" r:id="rId45" xr:uid="{C5F7297B-1969-4E4C-8CED-1069627D8DA0}"/>
    <hyperlink ref="G48" r:id="rId46" xr:uid="{87AD3B1A-7D6D-4D4B-AE6B-2A9E7D3BA8A9}"/>
    <hyperlink ref="G49" r:id="rId47" xr:uid="{22F1DC3E-CAC0-403F-A5B3-1064627F36BF}"/>
  </hyperlinks>
  <pageMargins left="0.7" right="0.7" top="0.75" bottom="0.75" header="0.3" footer="0.3"/>
  <tableParts count="1">
    <tablePart r:id="rId4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Fermi Lu</dc:creator>
  <cp:lastModifiedBy>Nick Fermi Lu</cp:lastModifiedBy>
  <dcterms:created xsi:type="dcterms:W3CDTF">2026-05-05T17:49:07Z</dcterms:created>
  <dcterms:modified xsi:type="dcterms:W3CDTF">2026-05-05T17:49:52Z</dcterms:modified>
</cp:coreProperties>
</file>